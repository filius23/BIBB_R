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oCloud\Home-Cloud\Lehre\BIBB\BIBB_R\"/>
    </mc:Choice>
  </mc:AlternateContent>
  <xr:revisionPtr revIDLastSave="0" documentId="13_ncr:1_{232A9389-6E57-4DD7-9593-3B7DD94D8EBF}" xr6:coauthVersionLast="47" xr6:coauthVersionMax="47" xr10:uidLastSave="{00000000-0000-0000-0000-000000000000}"/>
  <bookViews>
    <workbookView xWindow="-23655" yWindow="4425" windowWidth="23655" windowHeight="12855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3" i="2" l="1"/>
  <c r="F31" i="2"/>
  <c r="F29" i="2"/>
  <c r="G27" i="2"/>
  <c r="G29" i="2" s="1"/>
  <c r="G31" i="2" s="1"/>
  <c r="G33" i="2" s="1"/>
  <c r="F27" i="2"/>
  <c r="F25" i="2"/>
  <c r="F23" i="2"/>
  <c r="F21" i="2"/>
  <c r="G19" i="2"/>
  <c r="G21" i="2" s="1"/>
  <c r="G23" i="2" s="1"/>
  <c r="G25" i="2" s="1"/>
  <c r="F19" i="2"/>
  <c r="F17" i="2"/>
  <c r="F15" i="2"/>
  <c r="F13" i="2"/>
  <c r="F11" i="2"/>
  <c r="F9" i="2"/>
  <c r="F7" i="2"/>
  <c r="F5" i="2"/>
  <c r="F3" i="2"/>
  <c r="G2" i="2"/>
  <c r="G3" i="2" s="1"/>
  <c r="G5" i="2" s="1"/>
  <c r="G7" i="2" s="1"/>
  <c r="G9" i="2" s="1"/>
  <c r="G11" i="2" s="1"/>
  <c r="G13" i="2" s="1"/>
  <c r="G15" i="2" s="1"/>
  <c r="G17" i="2" s="1"/>
  <c r="F2" i="2"/>
  <c r="E33" i="1"/>
  <c r="E59" i="1" l="1"/>
  <c r="E58" i="1"/>
  <c r="E56" i="1"/>
  <c r="E54" i="1"/>
  <c r="E52" i="1"/>
  <c r="F51" i="1"/>
  <c r="F52" i="1" s="1"/>
  <c r="F54" i="1" s="1"/>
  <c r="F56" i="1" s="1"/>
  <c r="F58" i="1" s="1"/>
  <c r="F59" i="1" s="1"/>
  <c r="E51" i="1"/>
  <c r="E46" i="1"/>
  <c r="E45" i="1"/>
  <c r="E43" i="1"/>
  <c r="E41" i="1"/>
  <c r="E39" i="1"/>
  <c r="F38" i="1"/>
  <c r="F39" i="1" s="1"/>
  <c r="F41" i="1" s="1"/>
  <c r="F43" i="1" s="1"/>
  <c r="F45" i="1" s="1"/>
  <c r="F46" i="1" s="1"/>
  <c r="E38" i="1"/>
  <c r="E32" i="1"/>
  <c r="E30" i="1"/>
  <c r="E28" i="1"/>
  <c r="E26" i="1"/>
  <c r="F25" i="1"/>
  <c r="F26" i="1" s="1"/>
  <c r="F28" i="1" s="1"/>
  <c r="F30" i="1" s="1"/>
  <c r="F32" i="1" s="1"/>
  <c r="F33" i="1" s="1"/>
  <c r="E25" i="1"/>
  <c r="E5" i="1"/>
  <c r="E19" i="1"/>
  <c r="E17" i="1"/>
  <c r="E15" i="1"/>
  <c r="E13" i="1"/>
  <c r="E11" i="1"/>
  <c r="E9" i="1"/>
  <c r="E7" i="1"/>
  <c r="E4" i="1"/>
  <c r="F4" i="1"/>
  <c r="F5" i="1" s="1"/>
  <c r="F7" i="1" s="1"/>
  <c r="F9" i="1" l="1"/>
  <c r="F11" i="1" s="1"/>
  <c r="F13" i="1" s="1"/>
  <c r="F15" i="1" s="1"/>
  <c r="F17" i="1" s="1"/>
  <c r="F19" i="1" s="1"/>
</calcChain>
</file>

<file path=xl/sharedStrings.xml><?xml version="1.0" encoding="utf-8"?>
<sst xmlns="http://schemas.openxmlformats.org/spreadsheetml/2006/main" count="133" uniqueCount="55">
  <si>
    <t>Einführung 1</t>
  </si>
  <si>
    <t>Tag 1</t>
  </si>
  <si>
    <t>10 Stunden</t>
  </si>
  <si>
    <t xml:space="preserve">Tag 1 </t>
  </si>
  <si>
    <t>kum. Veranstaltungzeit</t>
  </si>
  <si>
    <t>Mittagspause</t>
  </si>
  <si>
    <t>Tag 2</t>
  </si>
  <si>
    <t>15 Min Puffer für Aufgaben/Fragen</t>
  </si>
  <si>
    <t>neue Variablen erstellen, bestehende Variablen verändern, labels vergeben</t>
  </si>
  <si>
    <t>Zusammenhangsmaße, insbes. Regression</t>
  </si>
  <si>
    <t>Recap Tag1, Gewichtung, ados (mdesc &amp; unique)</t>
  </si>
  <si>
    <t>ggf. anschließende Fragen</t>
  </si>
  <si>
    <t>Variablen erstellen mit egen, Hilfe verwenden &amp; Fehlermeldungen</t>
  </si>
  <si>
    <t>Willkommen</t>
  </si>
  <si>
    <t>Einstieg + Überblicksbefehle (su &amp; tab -&gt; Skalenniveau), missings</t>
  </si>
  <si>
    <t>bys und Schleifen</t>
  </si>
  <si>
    <t>Dauer</t>
  </si>
  <si>
    <t>7 Stunden</t>
  </si>
  <si>
    <t>Deskriptive Maße (tabstat: Varianz, Gini,…), if-Bedingungen</t>
  </si>
  <si>
    <t>Einstieg + Überblicksbefehle (su, tab), missings, tabstat</t>
  </si>
  <si>
    <t>Zusammenfassung, Ausblick, weiterführende Ressourcen</t>
  </si>
  <si>
    <t>DoFiles strukturieren, Zusammenfassung, Ausblick, weiterführende Ressourcen</t>
  </si>
  <si>
    <t>Einführung 2</t>
  </si>
  <si>
    <t>if-Bedingungen, neue Variablen erstellen (gen &amp; egen), bestehende Variablen verändern, labels vergeben</t>
  </si>
  <si>
    <t>Kaffee- &amp; Bildschirmpause</t>
  </si>
  <si>
    <t>Tabellenexport</t>
  </si>
  <si>
    <t>Postestimates, Macros, Schleifen</t>
  </si>
  <si>
    <t>Häufigkeitstabellen formatieren und exportieren</t>
  </si>
  <si>
    <t>Kreuztabellen formatieren und exportieren</t>
  </si>
  <si>
    <t>Regressionstabellen formatieren und exportieren</t>
  </si>
  <si>
    <t>Postestimates aufrufen, verwenden und weiterverarbeiten</t>
  </si>
  <si>
    <t xml:space="preserve">Wildcards, string- &amp; regex Funktionen - Grundlagen und Anwendungsmöglichkeiten </t>
  </si>
  <si>
    <t>Schleifen erweitern, doFiles mit zusätzlichen Argumenten anstoßen, mehrere Sessions anstoßen</t>
  </si>
  <si>
    <t>Macros: locals &amp; globals (kurze Wiederholung), arbeiten mit frames, temporary variables/files/frames, tokenize, eigene Programme definieren</t>
  </si>
  <si>
    <t>Regressionsmodelle, bysort und einfache Schleifen, ggf. Wünsche von Teilnehmenden</t>
  </si>
  <si>
    <t>DoFiles strukturieren, ados verwenden, Fehlermeldungen verstehen</t>
  </si>
  <si>
    <t>Einstieg: RStudio kennenlernen und erste Schritte mit Daten</t>
  </si>
  <si>
    <t>Tag 3</t>
  </si>
  <si>
    <t>Tag 4</t>
  </si>
  <si>
    <t>Ergebnisse exportieren: Grundlagen von RMarkdown und Word-Export mit flextable</t>
  </si>
  <si>
    <t>Deskriptionen: Tabellen &amp; Umgang mit Missings</t>
  </si>
  <si>
    <t>Deskriptionen: erste Visualisierungen mit ggplot2</t>
  </si>
  <si>
    <t>Zusammenfassung, Ausblick zur eigenen Vertiefung (Dashboards bauen, Animationen erstellen), weiterführende Ressourcen</t>
  </si>
  <si>
    <t>Variablen erstellen Teil 2 (Infos aus Variablen kombinieren, gruppierte Operationen)</t>
  </si>
  <si>
    <t>filter/select</t>
  </si>
  <si>
    <t>Recap Tag1, Variablen erstellen Teil 1: Dummy-Variablen, Umbenennen, usw.</t>
  </si>
  <si>
    <t>Zusammenfassung &amp; Fragen, Ausblick auf Woche 2</t>
  </si>
  <si>
    <t>Labels bzw. Alternativen dazu (join-Befehle), Zusammenfassung &amp; Fragen</t>
  </si>
  <si>
    <t>Recap Tag 3, Schleifen, Modellserien (Modellvarianten, verschiedene Subgruppen)</t>
  </si>
  <si>
    <t>Ergebnisexport Teil 2 oder Wunschthema, bspw. weitere Datenaufbereitung</t>
  </si>
  <si>
    <t>Gewichtung, Einstieg in Inferenzstatistik (t-Tests)</t>
  </si>
  <si>
    <t>Recap Woche 1, Regressionsanalyse in R</t>
  </si>
  <si>
    <t>Regressionsanalyse Teil 2 - Erweiterungen: Standardfehler, Fixed Effects</t>
  </si>
  <si>
    <t>Regressionsanalyse Teil 3 - logistische Regression, AMEs, …</t>
  </si>
  <si>
    <t>Zusammenfassung, ggf. weitere Modelle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</si>
</sst>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9"/>
  <sheetViews>
    <sheetView workbookViewId="0">
      <selection activeCell="G19" sqref="A3:G19"/>
    </sheetView>
  </sheetViews>
  <sheetFormatPr baseColWidth="10" defaultRowHeight="15" x14ac:dyDescent="0.25"/>
  <cols>
    <col min="1" max="1" width="30.5703125" bestFit="1" customWidth="1"/>
    <col min="4" max="4" width="92.28515625" customWidth="1"/>
    <col min="5" max="5" width="6.28515625" style="2" bestFit="1" customWidth="1"/>
    <col min="6" max="6" width="21.85546875" bestFit="1" customWidth="1"/>
    <col min="7" max="7" width="20" style="2" bestFit="1" customWidth="1"/>
  </cols>
  <sheetData>
    <row r="2" spans="1:7" x14ac:dyDescent="0.25">
      <c r="A2" t="s">
        <v>0</v>
      </c>
      <c r="B2" t="s">
        <v>2</v>
      </c>
    </row>
    <row r="3" spans="1:7" x14ac:dyDescent="0.25">
      <c r="E3" t="s">
        <v>16</v>
      </c>
      <c r="F3" t="s">
        <v>4</v>
      </c>
    </row>
    <row r="4" spans="1:7" x14ac:dyDescent="0.25">
      <c r="A4" t="s">
        <v>1</v>
      </c>
      <c r="B4" s="1">
        <v>0.35416666666666669</v>
      </c>
      <c r="C4" s="1">
        <v>0.36458333333333331</v>
      </c>
      <c r="D4" t="s">
        <v>13</v>
      </c>
      <c r="E4" s="1">
        <f>C4-B4</f>
        <v>1.041666666666663E-2</v>
      </c>
      <c r="F4" s="1">
        <f>C4-B4</f>
        <v>1.041666666666663E-2</v>
      </c>
    </row>
    <row r="5" spans="1:7" x14ac:dyDescent="0.25">
      <c r="A5" t="s">
        <v>1</v>
      </c>
      <c r="B5" s="1">
        <v>0.36458333333333331</v>
      </c>
      <c r="C5" s="1">
        <v>0.42708333333333331</v>
      </c>
      <c r="D5" t="s">
        <v>14</v>
      </c>
      <c r="E5" s="1">
        <f>C5-B5</f>
        <v>6.25E-2</v>
      </c>
      <c r="F5" s="1">
        <f>C5-B5+F4</f>
        <v>7.291666666666663E-2</v>
      </c>
    </row>
    <row r="6" spans="1:7" x14ac:dyDescent="0.25">
      <c r="A6" t="s">
        <v>1</v>
      </c>
      <c r="B6" s="1">
        <v>0.42708333333333331</v>
      </c>
      <c r="C6" s="1">
        <v>0.4375</v>
      </c>
      <c r="D6" t="s">
        <v>24</v>
      </c>
      <c r="E6"/>
    </row>
    <row r="7" spans="1:7" x14ac:dyDescent="0.25">
      <c r="A7" t="s">
        <v>1</v>
      </c>
      <c r="B7" s="1">
        <v>0.42708333333333331</v>
      </c>
      <c r="C7" s="1">
        <v>0.5</v>
      </c>
      <c r="D7" t="s">
        <v>18</v>
      </c>
      <c r="E7" s="1">
        <f>C7-B7</f>
        <v>7.2916666666666685E-2</v>
      </c>
      <c r="F7" s="1">
        <f>C7-B7+F5</f>
        <v>0.14583333333333331</v>
      </c>
      <c r="G7" s="3" t="s">
        <v>7</v>
      </c>
    </row>
    <row r="8" spans="1:7" x14ac:dyDescent="0.25">
      <c r="A8" t="s">
        <v>3</v>
      </c>
      <c r="B8" s="1">
        <v>0.5</v>
      </c>
      <c r="C8" s="1">
        <v>0.5625</v>
      </c>
      <c r="D8" t="s">
        <v>5</v>
      </c>
      <c r="E8"/>
    </row>
    <row r="9" spans="1:7" x14ac:dyDescent="0.25">
      <c r="A9" t="s">
        <v>1</v>
      </c>
      <c r="B9" s="1">
        <v>0.5625</v>
      </c>
      <c r="C9" s="1">
        <v>0.60416666666666663</v>
      </c>
      <c r="D9" t="s">
        <v>8</v>
      </c>
      <c r="E9" s="1">
        <f>C9-B9</f>
        <v>4.166666666666663E-2</v>
      </c>
      <c r="F9" s="1">
        <f>C9-B9+F7</f>
        <v>0.18749999999999994</v>
      </c>
    </row>
    <row r="10" spans="1:7" x14ac:dyDescent="0.25">
      <c r="A10" t="s">
        <v>1</v>
      </c>
      <c r="B10" s="1">
        <v>0.60416666666666663</v>
      </c>
      <c r="C10" s="1">
        <v>0.61458333333333337</v>
      </c>
      <c r="D10" t="s">
        <v>24</v>
      </c>
      <c r="E10"/>
    </row>
    <row r="11" spans="1:7" x14ac:dyDescent="0.25">
      <c r="A11" t="s">
        <v>1</v>
      </c>
      <c r="B11" s="1">
        <v>0.61458333333333337</v>
      </c>
      <c r="C11" s="1">
        <v>0.63541666666666663</v>
      </c>
      <c r="D11" t="s">
        <v>12</v>
      </c>
      <c r="E11" s="1">
        <f>C11-B11</f>
        <v>2.0833333333333259E-2</v>
      </c>
      <c r="F11" s="1">
        <f>C11-B11+F9</f>
        <v>0.2083333333333332</v>
      </c>
      <c r="G11" s="2" t="s">
        <v>11</v>
      </c>
    </row>
    <row r="12" spans="1:7" x14ac:dyDescent="0.25">
      <c r="E12"/>
    </row>
    <row r="13" spans="1:7" x14ac:dyDescent="0.25">
      <c r="A13" t="s">
        <v>6</v>
      </c>
      <c r="B13" s="1">
        <v>0.35416666666666669</v>
      </c>
      <c r="C13" s="1">
        <v>0.41666666666666669</v>
      </c>
      <c r="D13" t="s">
        <v>10</v>
      </c>
      <c r="E13" s="1">
        <f>C13-B13</f>
        <v>6.25E-2</v>
      </c>
      <c r="F13" s="1">
        <f>C13-B13+F11</f>
        <v>0.2708333333333332</v>
      </c>
    </row>
    <row r="14" spans="1:7" x14ac:dyDescent="0.25">
      <c r="A14" t="s">
        <v>6</v>
      </c>
      <c r="B14" s="1">
        <v>0.41666666666666669</v>
      </c>
      <c r="C14" s="1">
        <v>0.42708333333333331</v>
      </c>
      <c r="D14" t="s">
        <v>24</v>
      </c>
      <c r="E14"/>
    </row>
    <row r="15" spans="1:7" x14ac:dyDescent="0.25">
      <c r="A15" t="s">
        <v>6</v>
      </c>
      <c r="B15" s="1">
        <v>0.42708333333333331</v>
      </c>
      <c r="C15" s="1">
        <v>0.5</v>
      </c>
      <c r="D15" t="s">
        <v>9</v>
      </c>
      <c r="E15" s="1">
        <f>C15-B15</f>
        <v>7.2916666666666685E-2</v>
      </c>
      <c r="F15" s="1">
        <f>C15-B15+F13</f>
        <v>0.34374999999999989</v>
      </c>
    </row>
    <row r="16" spans="1:7" x14ac:dyDescent="0.25">
      <c r="A16" t="s">
        <v>6</v>
      </c>
      <c r="B16" s="1">
        <v>0.5</v>
      </c>
      <c r="C16" s="1">
        <v>0.5625</v>
      </c>
      <c r="D16" t="s">
        <v>5</v>
      </c>
      <c r="E16"/>
    </row>
    <row r="17" spans="1:7" x14ac:dyDescent="0.25">
      <c r="A17" t="s">
        <v>6</v>
      </c>
      <c r="B17" s="1">
        <v>0.5625</v>
      </c>
      <c r="C17" s="1">
        <v>0.60416666666666663</v>
      </c>
      <c r="D17" t="s">
        <v>15</v>
      </c>
      <c r="E17" s="1">
        <f>C17-B17</f>
        <v>4.166666666666663E-2</v>
      </c>
      <c r="F17" s="1">
        <f>C17-B17+F15</f>
        <v>0.38541666666666652</v>
      </c>
    </row>
    <row r="18" spans="1:7" x14ac:dyDescent="0.25">
      <c r="A18" t="s">
        <v>6</v>
      </c>
      <c r="B18" s="1">
        <v>0.60416666666666663</v>
      </c>
      <c r="C18" s="1">
        <v>0.61458333333333337</v>
      </c>
      <c r="D18" t="s">
        <v>24</v>
      </c>
      <c r="E18"/>
    </row>
    <row r="19" spans="1:7" x14ac:dyDescent="0.25">
      <c r="A19" t="s">
        <v>6</v>
      </c>
      <c r="B19" s="1">
        <v>0.61458333333333337</v>
      </c>
      <c r="C19" s="1">
        <v>0.64583333333333337</v>
      </c>
      <c r="D19" t="s">
        <v>21</v>
      </c>
      <c r="E19" s="1">
        <f>C19-B19</f>
        <v>3.125E-2</v>
      </c>
      <c r="F19" s="1">
        <f>C19-B19+F17</f>
        <v>0.41666666666666652</v>
      </c>
    </row>
    <row r="23" spans="1:7" x14ac:dyDescent="0.25">
      <c r="A23" t="s">
        <v>22</v>
      </c>
      <c r="B23" t="s">
        <v>17</v>
      </c>
    </row>
    <row r="24" spans="1:7" x14ac:dyDescent="0.25">
      <c r="E24" t="s">
        <v>16</v>
      </c>
      <c r="F24" t="s">
        <v>4</v>
      </c>
    </row>
    <row r="25" spans="1:7" x14ac:dyDescent="0.25">
      <c r="B25" s="1">
        <v>0.35416666666666669</v>
      </c>
      <c r="C25" s="1">
        <v>0.36458333333333331</v>
      </c>
      <c r="D25" t="s">
        <v>13</v>
      </c>
      <c r="E25" s="1">
        <f>C25-B25</f>
        <v>1.041666666666663E-2</v>
      </c>
      <c r="F25" s="1">
        <f>C25-B25</f>
        <v>1.041666666666663E-2</v>
      </c>
    </row>
    <row r="26" spans="1:7" x14ac:dyDescent="0.25">
      <c r="B26" s="1">
        <v>0.36458333333333331</v>
      </c>
      <c r="C26" s="1">
        <v>0.42708333333333331</v>
      </c>
      <c r="D26" t="s">
        <v>19</v>
      </c>
      <c r="E26" s="1">
        <f>C26-B26</f>
        <v>6.25E-2</v>
      </c>
      <c r="F26" s="1">
        <f>C26-B26+F25</f>
        <v>7.291666666666663E-2</v>
      </c>
    </row>
    <row r="27" spans="1:7" x14ac:dyDescent="0.25">
      <c r="B27" s="1">
        <v>0.42708333333333331</v>
      </c>
      <c r="C27" s="1">
        <v>0.4375</v>
      </c>
      <c r="D27" t="s">
        <v>24</v>
      </c>
      <c r="E27"/>
    </row>
    <row r="28" spans="1:7" x14ac:dyDescent="0.25">
      <c r="B28" s="1">
        <v>0.42708333333333331</v>
      </c>
      <c r="C28" s="1">
        <v>0.5</v>
      </c>
      <c r="D28" t="s">
        <v>23</v>
      </c>
      <c r="E28" s="1">
        <f>C28-B28</f>
        <v>7.2916666666666685E-2</v>
      </c>
      <c r="F28" s="1">
        <f>C28-B28+F26</f>
        <v>0.14583333333333331</v>
      </c>
      <c r="G28" s="3"/>
    </row>
    <row r="29" spans="1:7" x14ac:dyDescent="0.25">
      <c r="B29" s="1">
        <v>0.5</v>
      </c>
      <c r="C29" s="1">
        <v>0.5625</v>
      </c>
      <c r="D29" t="s">
        <v>5</v>
      </c>
      <c r="E29"/>
    </row>
    <row r="30" spans="1:7" x14ac:dyDescent="0.25">
      <c r="B30" s="1">
        <v>0.5625</v>
      </c>
      <c r="C30" s="1">
        <v>0.63541666666666663</v>
      </c>
      <c r="D30" t="s">
        <v>34</v>
      </c>
      <c r="E30" s="1">
        <f>C30-B30</f>
        <v>7.291666666666663E-2</v>
      </c>
      <c r="F30" s="1">
        <f>C30-B30+F28</f>
        <v>0.21874999999999994</v>
      </c>
    </row>
    <row r="31" spans="1:7" x14ac:dyDescent="0.25">
      <c r="B31" s="1">
        <v>0.63541666666666663</v>
      </c>
      <c r="C31" s="1">
        <v>0.64583333333333337</v>
      </c>
      <c r="D31" t="s">
        <v>24</v>
      </c>
      <c r="E31"/>
    </row>
    <row r="32" spans="1:7" x14ac:dyDescent="0.25">
      <c r="B32" s="1">
        <v>0.64583333333333337</v>
      </c>
      <c r="C32" s="1">
        <v>0.66666666666666663</v>
      </c>
      <c r="D32" t="s">
        <v>35</v>
      </c>
      <c r="E32" s="1">
        <f>C32-B32</f>
        <v>2.0833333333333259E-2</v>
      </c>
      <c r="F32" s="1">
        <f>C32-B32+F30</f>
        <v>0.2395833333333332</v>
      </c>
    </row>
    <row r="33" spans="1:7" x14ac:dyDescent="0.25">
      <c r="B33" s="1">
        <v>0.66666666666666663</v>
      </c>
      <c r="C33" s="1">
        <v>0.67708333333333337</v>
      </c>
      <c r="D33" t="s">
        <v>20</v>
      </c>
      <c r="E33" s="1">
        <f>C33-B33</f>
        <v>1.0416666666666741E-2</v>
      </c>
      <c r="F33" s="1">
        <f>C33-B33+F32</f>
        <v>0.24999999999999994</v>
      </c>
    </row>
    <row r="34" spans="1:7" x14ac:dyDescent="0.25">
      <c r="B34" s="1"/>
      <c r="C34" s="1"/>
      <c r="E34"/>
    </row>
    <row r="35" spans="1:7" x14ac:dyDescent="0.25">
      <c r="B35" s="1"/>
      <c r="C35" s="1"/>
      <c r="E35" s="1"/>
      <c r="F35" s="1"/>
    </row>
    <row r="36" spans="1:7" x14ac:dyDescent="0.25">
      <c r="A36" t="s">
        <v>25</v>
      </c>
      <c r="B36" s="1" t="s">
        <v>17</v>
      </c>
      <c r="C36" s="1"/>
      <c r="E36"/>
    </row>
    <row r="37" spans="1:7" x14ac:dyDescent="0.25">
      <c r="B37" s="1"/>
      <c r="C37" s="1"/>
      <c r="E37" s="1"/>
      <c r="F37" s="1"/>
    </row>
    <row r="38" spans="1:7" x14ac:dyDescent="0.25">
      <c r="B38" s="1">
        <v>0.35416666666666669</v>
      </c>
      <c r="C38" s="1">
        <v>0.36458333333333331</v>
      </c>
      <c r="D38" t="s">
        <v>13</v>
      </c>
      <c r="E38" s="1">
        <f>C38-B38</f>
        <v>1.041666666666663E-2</v>
      </c>
      <c r="F38" s="1">
        <f>C38-B38</f>
        <v>1.041666666666663E-2</v>
      </c>
    </row>
    <row r="39" spans="1:7" x14ac:dyDescent="0.25">
      <c r="B39" s="1">
        <v>0.36458333333333331</v>
      </c>
      <c r="C39" s="1">
        <v>0.42708333333333331</v>
      </c>
      <c r="D39" t="s">
        <v>27</v>
      </c>
      <c r="E39" s="1">
        <f>C39-B39</f>
        <v>6.25E-2</v>
      </c>
      <c r="F39" s="1">
        <f>C39-B39+F38</f>
        <v>7.291666666666663E-2</v>
      </c>
    </row>
    <row r="40" spans="1:7" x14ac:dyDescent="0.25">
      <c r="B40" s="1">
        <v>0.42708333333333331</v>
      </c>
      <c r="C40" s="1">
        <v>0.4375</v>
      </c>
      <c r="D40" t="s">
        <v>24</v>
      </c>
      <c r="E40"/>
    </row>
    <row r="41" spans="1:7" x14ac:dyDescent="0.25">
      <c r="B41" s="1">
        <v>0.42708333333333331</v>
      </c>
      <c r="C41" s="1">
        <v>0.5</v>
      </c>
      <c r="D41" t="s">
        <v>28</v>
      </c>
      <c r="E41" s="1">
        <f>C41-B41</f>
        <v>7.2916666666666685E-2</v>
      </c>
      <c r="F41" s="1">
        <f>C41-B41+F39</f>
        <v>0.14583333333333331</v>
      </c>
      <c r="G41" s="3"/>
    </row>
    <row r="42" spans="1:7" x14ac:dyDescent="0.25">
      <c r="B42" s="1">
        <v>0.5</v>
      </c>
      <c r="C42" s="1">
        <v>0.5625</v>
      </c>
      <c r="D42" t="s">
        <v>5</v>
      </c>
      <c r="E42"/>
    </row>
    <row r="43" spans="1:7" x14ac:dyDescent="0.25">
      <c r="B43" s="1">
        <v>0.5625</v>
      </c>
      <c r="C43" s="1">
        <v>0.63541666666666663</v>
      </c>
      <c r="D43" t="s">
        <v>29</v>
      </c>
      <c r="E43" s="1">
        <f>C43-B43</f>
        <v>7.291666666666663E-2</v>
      </c>
      <c r="F43" s="1">
        <f>C43-B43+F41</f>
        <v>0.21874999999999994</v>
      </c>
    </row>
    <row r="44" spans="1:7" x14ac:dyDescent="0.25">
      <c r="B44" s="1">
        <v>0.63541666666666663</v>
      </c>
      <c r="C44" s="1">
        <v>0.64583333333333337</v>
      </c>
      <c r="D44" t="s">
        <v>24</v>
      </c>
      <c r="E44"/>
    </row>
    <row r="45" spans="1:7" x14ac:dyDescent="0.25">
      <c r="B45" s="1">
        <v>0.64583333333333337</v>
      </c>
      <c r="C45" s="1">
        <v>0.70833333333333337</v>
      </c>
      <c r="E45" s="1">
        <f>C45-B45</f>
        <v>6.25E-2</v>
      </c>
      <c r="F45" s="1">
        <f>C45-B45+F43</f>
        <v>0.28124999999999994</v>
      </c>
    </row>
    <row r="46" spans="1:7" x14ac:dyDescent="0.25">
      <c r="B46" s="1">
        <v>0.70833333333333337</v>
      </c>
      <c r="C46" s="1">
        <v>0.71875</v>
      </c>
      <c r="D46" t="s">
        <v>20</v>
      </c>
      <c r="E46" s="1">
        <f>C46-B46</f>
        <v>1.041666666666663E-2</v>
      </c>
      <c r="F46" s="1">
        <f>C46-B46+F45</f>
        <v>0.29166666666666657</v>
      </c>
    </row>
    <row r="49" spans="1:7" x14ac:dyDescent="0.25">
      <c r="A49" t="s">
        <v>26</v>
      </c>
      <c r="B49" s="1" t="s">
        <v>17</v>
      </c>
    </row>
    <row r="51" spans="1:7" x14ac:dyDescent="0.25">
      <c r="B51" s="1">
        <v>0.35416666666666669</v>
      </c>
      <c r="C51" s="1">
        <v>0.36458333333333331</v>
      </c>
      <c r="D51" t="s">
        <v>13</v>
      </c>
      <c r="E51" s="1">
        <f>C51-B51</f>
        <v>1.041666666666663E-2</v>
      </c>
      <c r="F51" s="1">
        <f>C51-B51</f>
        <v>1.041666666666663E-2</v>
      </c>
    </row>
    <row r="52" spans="1:7" x14ac:dyDescent="0.25">
      <c r="B52" s="1">
        <v>0.36458333333333331</v>
      </c>
      <c r="C52" s="1">
        <v>0.42708333333333331</v>
      </c>
      <c r="D52" t="s">
        <v>33</v>
      </c>
      <c r="E52" s="1">
        <f>C52-B52</f>
        <v>6.25E-2</v>
      </c>
      <c r="F52" s="1">
        <f>C52-B52+F51</f>
        <v>7.291666666666663E-2</v>
      </c>
    </row>
    <row r="53" spans="1:7" x14ac:dyDescent="0.25">
      <c r="B53" s="1">
        <v>0.42708333333333331</v>
      </c>
      <c r="C53" s="1">
        <v>0.4375</v>
      </c>
      <c r="D53" t="s">
        <v>24</v>
      </c>
      <c r="E53"/>
    </row>
    <row r="54" spans="1:7" x14ac:dyDescent="0.25">
      <c r="B54" s="1">
        <v>0.42708333333333331</v>
      </c>
      <c r="C54" s="1">
        <v>0.5</v>
      </c>
      <c r="D54" t="s">
        <v>31</v>
      </c>
      <c r="E54" s="1">
        <f>C54-B54</f>
        <v>7.2916666666666685E-2</v>
      </c>
      <c r="F54" s="1">
        <f>C54-B54+F52</f>
        <v>0.14583333333333331</v>
      </c>
      <c r="G54" s="3"/>
    </row>
    <row r="55" spans="1:7" x14ac:dyDescent="0.25">
      <c r="B55" s="1">
        <v>0.5</v>
      </c>
      <c r="C55" s="1">
        <v>0.5625</v>
      </c>
      <c r="D55" t="s">
        <v>5</v>
      </c>
      <c r="E55"/>
    </row>
    <row r="56" spans="1:7" x14ac:dyDescent="0.25">
      <c r="B56" s="1">
        <v>0.5625</v>
      </c>
      <c r="C56" s="1">
        <v>0.63541666666666663</v>
      </c>
      <c r="D56" t="s">
        <v>30</v>
      </c>
      <c r="E56" s="1">
        <f>C56-B56</f>
        <v>7.291666666666663E-2</v>
      </c>
      <c r="F56" s="1">
        <f>C56-B56+F54</f>
        <v>0.21874999999999994</v>
      </c>
    </row>
    <row r="57" spans="1:7" x14ac:dyDescent="0.25">
      <c r="B57" s="1">
        <v>0.63541666666666663</v>
      </c>
      <c r="C57" s="1">
        <v>0.64583333333333337</v>
      </c>
      <c r="D57" t="s">
        <v>24</v>
      </c>
      <c r="E57"/>
    </row>
    <row r="58" spans="1:7" x14ac:dyDescent="0.25">
      <c r="B58" s="1">
        <v>0.64583333333333337</v>
      </c>
      <c r="C58" s="1">
        <v>0.70833333333333337</v>
      </c>
      <c r="D58" t="s">
        <v>32</v>
      </c>
      <c r="E58" s="1">
        <f>C58-B58</f>
        <v>6.25E-2</v>
      </c>
      <c r="F58" s="1">
        <f>C58-B58+F56</f>
        <v>0.28124999999999994</v>
      </c>
    </row>
    <row r="59" spans="1:7" x14ac:dyDescent="0.25">
      <c r="B59" s="1">
        <v>0.70833333333333337</v>
      </c>
      <c r="C59" s="1">
        <v>0.71875</v>
      </c>
      <c r="D59" t="s">
        <v>20</v>
      </c>
      <c r="E59" s="1">
        <f>C59-B59</f>
        <v>1.041666666666663E-2</v>
      </c>
      <c r="F59" s="1">
        <f>C59-B59+F58</f>
        <v>0.29166666666666657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BB06-0FAF-4017-A11E-AA3EAFF12214}">
  <dimension ref="A1:H33"/>
  <sheetViews>
    <sheetView tabSelected="1" topLeftCell="A10" workbookViewId="0">
      <selection activeCell="E27" sqref="E27"/>
    </sheetView>
  </sheetViews>
  <sheetFormatPr baseColWidth="10" defaultRowHeight="15" x14ac:dyDescent="0.25"/>
  <cols>
    <col min="5" max="5" width="74.85546875" customWidth="1"/>
    <col min="6" max="6" width="6.28515625" bestFit="1" customWidth="1"/>
    <col min="7" max="7" width="21.85546875" bestFit="1" customWidth="1"/>
    <col min="8" max="8" width="24" bestFit="1" customWidth="1"/>
  </cols>
  <sheetData>
    <row r="1" spans="1:8" x14ac:dyDescent="0.25">
      <c r="F1" t="s">
        <v>16</v>
      </c>
      <c r="G1" t="s">
        <v>4</v>
      </c>
      <c r="H1" s="2"/>
    </row>
    <row r="2" spans="1:8" x14ac:dyDescent="0.25">
      <c r="A2" t="s">
        <v>1</v>
      </c>
      <c r="C2" s="1">
        <v>0.35416666666666669</v>
      </c>
      <c r="D2" s="1">
        <v>0.36458333333333331</v>
      </c>
      <c r="E2" t="s">
        <v>13</v>
      </c>
      <c r="F2" s="1">
        <f>D2-C2</f>
        <v>1.041666666666663E-2</v>
      </c>
      <c r="G2" s="1">
        <f>D2-C2</f>
        <v>1.041666666666663E-2</v>
      </c>
      <c r="H2" s="2"/>
    </row>
    <row r="3" spans="1:8" x14ac:dyDescent="0.25">
      <c r="A3" t="s">
        <v>1</v>
      </c>
      <c r="B3">
        <v>1</v>
      </c>
      <c r="C3" s="1">
        <v>0.36458333333333331</v>
      </c>
      <c r="D3" s="1">
        <v>0.42708333333333331</v>
      </c>
      <c r="E3" t="s">
        <v>36</v>
      </c>
      <c r="F3" s="1">
        <f>D3-C3</f>
        <v>6.25E-2</v>
      </c>
      <c r="G3" s="1">
        <f>D3-C3+G2</f>
        <v>7.291666666666663E-2</v>
      </c>
      <c r="H3" s="2"/>
    </row>
    <row r="4" spans="1:8" x14ac:dyDescent="0.25">
      <c r="A4" t="s">
        <v>1</v>
      </c>
      <c r="C4" s="1">
        <v>0.42708333333333331</v>
      </c>
      <c r="D4" s="1">
        <v>0.4375</v>
      </c>
      <c r="E4" t="s">
        <v>24</v>
      </c>
      <c r="H4" s="2"/>
    </row>
    <row r="5" spans="1:8" x14ac:dyDescent="0.25">
      <c r="A5" t="s">
        <v>1</v>
      </c>
      <c r="B5">
        <v>2</v>
      </c>
      <c r="C5" s="1">
        <v>0.42708333333333331</v>
      </c>
      <c r="D5" s="1">
        <v>0.5</v>
      </c>
      <c r="E5" t="s">
        <v>40</v>
      </c>
      <c r="F5" s="1">
        <f>D5-C5</f>
        <v>7.2916666666666685E-2</v>
      </c>
      <c r="G5" s="1">
        <f>D5-C5+G3</f>
        <v>0.14583333333333331</v>
      </c>
      <c r="H5" s="3" t="s">
        <v>7</v>
      </c>
    </row>
    <row r="6" spans="1:8" x14ac:dyDescent="0.25">
      <c r="A6" t="s">
        <v>3</v>
      </c>
      <c r="C6" s="1">
        <v>0.5</v>
      </c>
      <c r="D6" s="1">
        <v>0.5625</v>
      </c>
      <c r="E6" t="s">
        <v>5</v>
      </c>
      <c r="H6" s="2"/>
    </row>
    <row r="7" spans="1:8" x14ac:dyDescent="0.25">
      <c r="A7" t="s">
        <v>1</v>
      </c>
      <c r="B7">
        <v>3</v>
      </c>
      <c r="C7" s="1">
        <v>0.5625</v>
      </c>
      <c r="D7" s="1">
        <v>0.60416666666666663</v>
      </c>
      <c r="E7" t="s">
        <v>41</v>
      </c>
      <c r="F7" s="1">
        <f>D7-C7</f>
        <v>4.166666666666663E-2</v>
      </c>
      <c r="G7" s="1">
        <f>D7-C7+G5</f>
        <v>0.18749999999999994</v>
      </c>
      <c r="H7" s="2"/>
    </row>
    <row r="8" spans="1:8" x14ac:dyDescent="0.25">
      <c r="A8" t="s">
        <v>1</v>
      </c>
      <c r="C8" s="1">
        <v>0.60416666666666663</v>
      </c>
      <c r="D8" s="1">
        <v>0.61458333333333337</v>
      </c>
      <c r="E8" t="s">
        <v>24</v>
      </c>
      <c r="H8" s="2"/>
    </row>
    <row r="9" spans="1:8" x14ac:dyDescent="0.25">
      <c r="A9" t="s">
        <v>1</v>
      </c>
      <c r="B9">
        <v>4</v>
      </c>
      <c r="C9" s="1">
        <v>0.61458333333333337</v>
      </c>
      <c r="D9" s="1">
        <v>0.63541666666666663</v>
      </c>
      <c r="E9" t="s">
        <v>47</v>
      </c>
      <c r="F9" s="1">
        <f>D9-C9</f>
        <v>2.0833333333333259E-2</v>
      </c>
      <c r="G9" s="1">
        <f>D9-C9+G7</f>
        <v>0.2083333333333332</v>
      </c>
      <c r="H9" s="2" t="s">
        <v>11</v>
      </c>
    </row>
    <row r="10" spans="1:8" x14ac:dyDescent="0.25">
      <c r="H10" s="2"/>
    </row>
    <row r="11" spans="1:8" x14ac:dyDescent="0.25">
      <c r="A11" t="s">
        <v>6</v>
      </c>
      <c r="B11">
        <v>5</v>
      </c>
      <c r="C11" s="1">
        <v>0.35416666666666669</v>
      </c>
      <c r="D11" s="1">
        <v>0.41666666666666669</v>
      </c>
      <c r="E11" t="s">
        <v>45</v>
      </c>
      <c r="F11" s="1">
        <f>D11-C11</f>
        <v>6.25E-2</v>
      </c>
      <c r="G11" s="1">
        <f>D11-C11+G9</f>
        <v>0.2708333333333332</v>
      </c>
      <c r="H11" s="2"/>
    </row>
    <row r="12" spans="1:8" x14ac:dyDescent="0.25">
      <c r="A12" t="s">
        <v>6</v>
      </c>
      <c r="C12" s="1">
        <v>0.41666666666666669</v>
      </c>
      <c r="D12" s="1">
        <v>0.42708333333333331</v>
      </c>
      <c r="E12" t="s">
        <v>24</v>
      </c>
      <c r="H12" s="2"/>
    </row>
    <row r="13" spans="1:8" x14ac:dyDescent="0.25">
      <c r="A13" t="s">
        <v>6</v>
      </c>
      <c r="B13">
        <v>6</v>
      </c>
      <c r="C13" s="1">
        <v>0.42708333333333331</v>
      </c>
      <c r="D13" s="1">
        <v>0.5</v>
      </c>
      <c r="E13" t="s">
        <v>43</v>
      </c>
      <c r="F13" s="1">
        <f>D13-C13</f>
        <v>7.2916666666666685E-2</v>
      </c>
      <c r="G13" s="1">
        <f>D13-C13+G11</f>
        <v>0.34374999999999989</v>
      </c>
      <c r="H13" s="2" t="s">
        <v>44</v>
      </c>
    </row>
    <row r="14" spans="1:8" x14ac:dyDescent="0.25">
      <c r="A14" t="s">
        <v>6</v>
      </c>
      <c r="C14" s="1">
        <v>0.5</v>
      </c>
      <c r="D14" s="1">
        <v>0.5625</v>
      </c>
      <c r="E14" t="s">
        <v>5</v>
      </c>
      <c r="H14" s="2"/>
    </row>
    <row r="15" spans="1:8" x14ac:dyDescent="0.25">
      <c r="A15" t="s">
        <v>6</v>
      </c>
      <c r="B15">
        <v>7</v>
      </c>
      <c r="C15" s="1">
        <v>0.5625</v>
      </c>
      <c r="D15" s="1">
        <v>0.60416666666666663</v>
      </c>
      <c r="E15" t="s">
        <v>50</v>
      </c>
      <c r="F15" s="1">
        <f>D15-C15</f>
        <v>4.166666666666663E-2</v>
      </c>
      <c r="G15" s="1">
        <f>D15-C15+G13</f>
        <v>0.38541666666666652</v>
      </c>
      <c r="H15" s="2"/>
    </row>
    <row r="16" spans="1:8" x14ac:dyDescent="0.25">
      <c r="A16" t="s">
        <v>6</v>
      </c>
      <c r="C16" s="1">
        <v>0.60416666666666663</v>
      </c>
      <c r="D16" s="1">
        <v>0.61458333333333337</v>
      </c>
      <c r="E16" t="s">
        <v>24</v>
      </c>
      <c r="H16" s="2"/>
    </row>
    <row r="17" spans="1:8" x14ac:dyDescent="0.25">
      <c r="A17" t="s">
        <v>6</v>
      </c>
      <c r="B17">
        <v>8</v>
      </c>
      <c r="C17" s="1">
        <v>0.61458333333333337</v>
      </c>
      <c r="D17" s="1">
        <v>0.64583333333333337</v>
      </c>
      <c r="E17" t="s">
        <v>46</v>
      </c>
      <c r="F17" s="1">
        <f>D17-C17</f>
        <v>3.125E-2</v>
      </c>
      <c r="G17" s="1">
        <f>D17-C17+G15</f>
        <v>0.41666666666666652</v>
      </c>
      <c r="H17" s="2"/>
    </row>
    <row r="19" spans="1:8" x14ac:dyDescent="0.25">
      <c r="A19" t="s">
        <v>37</v>
      </c>
      <c r="B19">
        <v>9</v>
      </c>
      <c r="C19" s="1">
        <v>0.35416666666666669</v>
      </c>
      <c r="D19" s="1">
        <v>0.41666666666666669</v>
      </c>
      <c r="E19" t="s">
        <v>51</v>
      </c>
      <c r="F19" s="1">
        <f>D19-C19</f>
        <v>6.25E-2</v>
      </c>
      <c r="G19" s="1">
        <f>D19-C19+G17</f>
        <v>0.47916666666666652</v>
      </c>
    </row>
    <row r="20" spans="1:8" x14ac:dyDescent="0.25">
      <c r="A20" t="s">
        <v>37</v>
      </c>
      <c r="C20" s="1">
        <v>0.41666666666666669</v>
      </c>
      <c r="D20" s="1">
        <v>0.42708333333333331</v>
      </c>
      <c r="E20" t="s">
        <v>24</v>
      </c>
    </row>
    <row r="21" spans="1:8" x14ac:dyDescent="0.25">
      <c r="A21" t="s">
        <v>37</v>
      </c>
      <c r="B21">
        <v>10</v>
      </c>
      <c r="C21" s="1">
        <v>0.42708333333333331</v>
      </c>
      <c r="D21" s="1">
        <v>0.5</v>
      </c>
      <c r="E21" t="s">
        <v>52</v>
      </c>
      <c r="F21" s="1">
        <f>D21-C21</f>
        <v>7.2916666666666685E-2</v>
      </c>
      <c r="G21" s="1">
        <f>D21-C21+G19</f>
        <v>0.55208333333333326</v>
      </c>
    </row>
    <row r="22" spans="1:8" x14ac:dyDescent="0.25">
      <c r="A22" t="s">
        <v>37</v>
      </c>
      <c r="C22" s="1">
        <v>0.5</v>
      </c>
      <c r="D22" s="1">
        <v>0.5625</v>
      </c>
      <c r="E22" t="s">
        <v>5</v>
      </c>
    </row>
    <row r="23" spans="1:8" x14ac:dyDescent="0.25">
      <c r="A23" t="s">
        <v>37</v>
      </c>
      <c r="B23">
        <v>11</v>
      </c>
      <c r="C23" s="1">
        <v>0.5625</v>
      </c>
      <c r="D23" s="1">
        <v>0.60416666666666663</v>
      </c>
      <c r="E23" t="s">
        <v>53</v>
      </c>
      <c r="F23" s="1">
        <f>D23-C23</f>
        <v>4.166666666666663E-2</v>
      </c>
      <c r="G23" s="1">
        <f>D23-C23+G21</f>
        <v>0.59374999999999989</v>
      </c>
    </row>
    <row r="24" spans="1:8" x14ac:dyDescent="0.25">
      <c r="A24" t="s">
        <v>37</v>
      </c>
      <c r="C24" s="1">
        <v>0.60416666666666663</v>
      </c>
      <c r="D24" s="1">
        <v>0.61458333333333337</v>
      </c>
      <c r="E24" t="s">
        <v>24</v>
      </c>
    </row>
    <row r="25" spans="1:8" x14ac:dyDescent="0.25">
      <c r="A25" t="s">
        <v>37</v>
      </c>
      <c r="B25">
        <v>12</v>
      </c>
      <c r="C25" s="1">
        <v>0.61458333333333337</v>
      </c>
      <c r="D25" s="1">
        <v>0.64583333333333337</v>
      </c>
      <c r="E25" t="s">
        <v>54</v>
      </c>
      <c r="F25" s="1">
        <f>D25-C25</f>
        <v>3.125E-2</v>
      </c>
      <c r="G25" s="1">
        <f>D25-C25+G23</f>
        <v>0.62499999999999989</v>
      </c>
    </row>
    <row r="27" spans="1:8" x14ac:dyDescent="0.25">
      <c r="A27" t="s">
        <v>38</v>
      </c>
      <c r="B27">
        <v>13</v>
      </c>
      <c r="C27" s="1">
        <v>0.35416666666666669</v>
      </c>
      <c r="D27" s="1">
        <v>0.41666666666666669</v>
      </c>
      <c r="E27" t="s">
        <v>48</v>
      </c>
      <c r="F27" s="1">
        <f>D27-C27</f>
        <v>6.25E-2</v>
      </c>
      <c r="G27" s="1">
        <f>D27-C27+G25</f>
        <v>0.68749999999999989</v>
      </c>
    </row>
    <row r="28" spans="1:8" x14ac:dyDescent="0.25">
      <c r="A28" t="s">
        <v>38</v>
      </c>
      <c r="C28" s="1">
        <v>0.41666666666666669</v>
      </c>
      <c r="D28" s="1">
        <v>0.42708333333333331</v>
      </c>
      <c r="E28" t="s">
        <v>24</v>
      </c>
    </row>
    <row r="29" spans="1:8" x14ac:dyDescent="0.25">
      <c r="A29" t="s">
        <v>38</v>
      </c>
      <c r="B29">
        <v>14</v>
      </c>
      <c r="C29" s="1">
        <v>0.42708333333333331</v>
      </c>
      <c r="D29" s="1">
        <v>0.5</v>
      </c>
      <c r="E29" t="s">
        <v>39</v>
      </c>
      <c r="F29" s="1">
        <f>D29-C29</f>
        <v>7.2916666666666685E-2</v>
      </c>
      <c r="G29" s="1">
        <f>D29-C29+G27</f>
        <v>0.76041666666666652</v>
      </c>
    </row>
    <row r="30" spans="1:8" x14ac:dyDescent="0.25">
      <c r="A30" t="s">
        <v>38</v>
      </c>
      <c r="C30" s="1">
        <v>0.5</v>
      </c>
      <c r="D30" s="1">
        <v>0.5625</v>
      </c>
      <c r="E30" t="s">
        <v>5</v>
      </c>
    </row>
    <row r="31" spans="1:8" x14ac:dyDescent="0.25">
      <c r="A31" t="s">
        <v>38</v>
      </c>
      <c r="B31">
        <v>15</v>
      </c>
      <c r="C31" s="1">
        <v>0.5625</v>
      </c>
      <c r="D31" s="1">
        <v>0.60416666666666663</v>
      </c>
      <c r="E31" t="s">
        <v>49</v>
      </c>
      <c r="F31" s="1">
        <f>D31-C31</f>
        <v>4.166666666666663E-2</v>
      </c>
      <c r="G31" s="1">
        <f>D31-C31+G29</f>
        <v>0.80208333333333315</v>
      </c>
    </row>
    <row r="32" spans="1:8" x14ac:dyDescent="0.25">
      <c r="A32" t="s">
        <v>38</v>
      </c>
      <c r="C32" s="1">
        <v>0.60416666666666663</v>
      </c>
      <c r="D32" s="1">
        <v>0.61458333333333337</v>
      </c>
      <c r="E32" t="s">
        <v>24</v>
      </c>
    </row>
    <row r="33" spans="1:7" x14ac:dyDescent="0.25">
      <c r="A33" t="s">
        <v>38</v>
      </c>
      <c r="B33">
        <v>16</v>
      </c>
      <c r="C33" s="1">
        <v>0.61458333333333337</v>
      </c>
      <c r="D33" s="1">
        <v>0.64583333333333337</v>
      </c>
      <c r="E33" t="s">
        <v>42</v>
      </c>
      <c r="F33" s="1">
        <f>D33-C33</f>
        <v>3.125E-2</v>
      </c>
      <c r="G33" s="1">
        <f>D33-C33+G31</f>
        <v>0.83333333333333315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Filser</dc:creator>
  <cp:lastModifiedBy>Andreas F</cp:lastModifiedBy>
  <dcterms:created xsi:type="dcterms:W3CDTF">2021-09-27T13:59:36Z</dcterms:created>
  <dcterms:modified xsi:type="dcterms:W3CDTF">2022-09-25T11:09:00Z</dcterms:modified>
</cp:coreProperties>
</file>